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<sst xmlns="http://schemas.openxmlformats.org/spreadsheetml/2006/main" count="89" uniqueCount="87">
  <si>
    <t xml:space="preserve">Query ID</t>
  </si>
  <si>
    <t xml:space="preserve">Query Description</t>
  </si>
  <si>
    <t xml:space="preserve">Query Type
(Text/Image/Frame-Seq)</t>
  </si>
  <si>
    <t xml:space="preserve">Expected Video ID</t>
  </si>
  <si>
    <t xml:space="preserve">Expected Frame ID</t>
  </si>
  <si>
    <t xml:space="preserve">Primary Retrieval Result
(Pass/Fail)</t>
  </si>
  <si>
    <t xml:space="preserve">Cross-Modal Retry?
(Yes/No)</t>
  </si>
  <si>
    <t xml:space="preserve">Cross-Modal Type Used</t>
  </si>
  <si>
    <t xml:space="preserve">Cross-Modal Result
(Pass/Fail)</t>
  </si>
  <si>
    <t xml:space="preserve">Supporting Mechanism Used
(Similarity/Filter-Timestamp/Filter-EventID/None)</t>
  </si>
  <si>
    <t xml:space="preserve">Supporting Mechanism Result
(Pass/Fail)</t>
  </si>
  <si>
    <t xml:space="preserve">Final Status</t>
  </si>
  <si>
    <t xml:space="preserve">Notes</t>
  </si>
  <si>
    <t xml:space="preserve">Q01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</si>
  <si>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</si>
  <si>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</si>
  <si>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</si>
  <si>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</si>
  <si>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</si>
  <si>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</si>
  <si>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</si>
  <si>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</si>
  <si>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</si>
  <si>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</si>
  <si>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</si>
  <si>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</si>
  <si>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</si>
  <si>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</si>
  <si>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</si>
  <si>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</si>
  <si>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</si>
  <si>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</si>
  <si>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</si>
  <si>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</si>
  <si>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</si>
  <si>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</si>
  <si>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</si>
  <si>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</si>
  <si>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</si>
  <si>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</si>
  <si>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</si>
  <si>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</si>
  <si>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</si>
  <si>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</si>
  <si>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</si>
  <si>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</si>
  <si>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</si>
  <si>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</si>
  <si>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</si>
  <si>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</si>
  <si>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</si>
  <si>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</si>
  <si>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</si>
  <si>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</si>
  <si>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</si>
  <si>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</si>
  <si>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</si>
  <si>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</si>
  <si>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</si>
  <si>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Q47</t>
  </si>
  <si>
    <t xml:space="preserve">Q48</t>
  </si>
  <si>
    <t xml:space="preserve">Q49</t>
  </si>
  <si>
    <t xml:space="preserve">Q50</t>
  </si>
  <si>
    <t xml:space="preserve">Retrieval Evaluation Summary</t>
  </si>
  <si>
    <t xml:space="preserve">Overall</t>
  </si>
  <si>
    <t xml:space="preserve">Total Queries</t>
  </si>
  <si>
    <t xml:space="preserve">Primary Pass</t>
  </si>
  <si>
    <t xml:space="preserve">Cross-Modal Pass</t>
  </si>
  <si>
    <t xml:space="preserve">Recovered Pass (Similarity/Filter)</t>
  </si>
  <si>
    <t xml:space="preserve">Total Fail</t>
  </si>
  <si>
    <t xml:space="preserve">Key Rates (%)</t>
  </si>
  <si>
    <t xml:space="preserve">Primary Recall Rate</t>
  </si>
  <si>
    <t xml:space="preserve">Cross-Modal Recovery Rate</t>
  </si>
  <si>
    <t xml:space="preserve">Supporting-Mechanism Recovery Rate</t>
  </si>
  <si>
    <t xml:space="preserve">System Recall Rate (Overall Pass)</t>
  </si>
  <si>
    <t xml:space="preserve">Total Fail Rate</t>
  </si>
  <si>
    <t xml:space="preserve">By Query Type (Primary Retrieval Only)</t>
  </si>
  <si>
    <t xml:space="preserve">Query Type</t>
  </si>
  <si>
    <t xml:space="preserve">Primary Pass Count</t>
  </si>
  <si>
    <t xml:space="preserve">Text</t>
  </si>
  <si>
    <t xml:space="preserve">Image</t>
  </si>
  <si>
    <t xml:space="preserve">Frame-Sequence</t>
  </si>
  <si>
    <t xml:space="preserve">- Primary Pass: found directly via the query type's own semantic retrieval.</t>
  </si>
  <si>
    <t xml:space="preserve">- Cross-Modal Pass: primary type failed, but trying a different query type (e.g. text -&gt; image) found the frame.</t>
  </si>
  <si>
    <t xml:space="preserve">- Recovered Pass: found only via Similarity Search or manual Filter (video ID/timestamp/event ID).</t>
  </si>
  <si>
    <t xml:space="preserve">- Total Fail: no path (primary, cross-modal, or supporting mechanism) found the frame.</t>
  </si>
  <si>
    <t xml:space="preserve">- Fill yellow cells in 'Query Log'. All rates on this sheet recalc automatically.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</si>
</sst>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2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2" t="str">
        <f aca="false">IF(F2="Pass","Primary Pass",IF(AND(G2="Yes",I2="Pass"),"Cross-Modal Pass",IF(K2="Pass","Recovered Pass",IF(OR(F2="",F2=0),"","Total Fail"))))</f>
        <v/>
      </c>
      <c r="M2" s="3"/>
    </row>
    <row r="3" customFormat="false" ht="15" hidden="false" customHeight="false" outlineLevel="0" collapsed="false">
      <c r="A3" s="2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2" t="str">
        <f aca="false">IF(F3="Pass","Primary Pass",IF(AND(G3="Yes",I3="Pass"),"Cross-Modal Pass",IF(K3="Pass","Recovered Pass",IF(OR(F3="",F3=0),"","Total Fail"))))</f>
        <v/>
      </c>
      <c r="M3" s="3"/>
    </row>
    <row r="4" customFormat="false" ht="15" hidden="false" customHeight="false" outlineLevel="0" collapsed="false">
      <c r="A4" s="2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2" t="str">
        <f aca="false">IF(F4="Pass","Primary Pass",IF(AND(G4="Yes",I4="Pass"),"Cross-Modal Pass",IF(K4="Pass","Recovered Pass",IF(OR(F4="",F4=0),"","Total Fail"))))</f>
        <v/>
      </c>
      <c r="M4" s="3"/>
    </row>
    <row r="5" customFormat="false" ht="15" hidden="false" customHeight="false" outlineLevel="0" collapsed="false">
      <c r="A5" s="2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2" t="str">
        <f aca="false">IF(F5="Pass","Primary Pass",IF(AND(G5="Yes",I5="Pass"),"Cross-Modal Pass",IF(K5="Pass","Recovered Pass",IF(OR(F5="",F5=0),"","Total Fail"))))</f>
        <v/>
      </c>
      <c r="M5" s="3"/>
    </row>
    <row r="6" customFormat="false" ht="15" hidden="false" customHeight="false" outlineLevel="0" collapsed="false">
      <c r="A6" s="2" t="s">
        <v>17</v>
      </c>
      <c r="B6" s="3"/>
      <c r="C6" s="3"/>
      <c r="D6" s="3"/>
      <c r="E6" s="3"/>
      <c r="F6" s="3"/>
      <c r="G6" s="3"/>
      <c r="H6" s="3"/>
      <c r="I6" s="3"/>
      <c r="J6" s="3"/>
      <c r="K6" s="3"/>
      <c r="L6" s="2" t="str">
        <f aca="false">IF(F6="Pass","Primary Pass",IF(AND(G6="Yes",I6="Pass"),"Cross-Modal Pass",IF(K6="Pass","Recovered Pass",IF(OR(F6="",F6=0),"","Total Fail"))))</f>
        <v/>
      </c>
      <c r="M6" s="3"/>
    </row>
    <row r="7" customFormat="false" ht="15" hidden="false" customHeight="false" outlineLevel="0" collapsed="false">
      <c r="A7" s="2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2" t="str">
        <f aca="false">IF(F7="Pass","Primary Pass",IF(AND(G7="Yes",I7="Pass"),"Cross-Modal Pass",IF(K7="Pass","Recovered Pass",IF(OR(F7="",F7=0),"","Total Fail"))))</f>
        <v/>
      </c>
      <c r="M7" s="3"/>
    </row>
    <row r="8" customFormat="false" ht="15" hidden="false" customHeight="false" outlineLevel="0" collapsed="false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2" t="str">
        <f aca="false">IF(F8="Pass","Primary Pass",IF(AND(G8="Yes",I8="Pass"),"Cross-Modal Pass",IF(K8="Pass","Recovered Pass",IF(OR(F8="",F8=0),"","Total Fail"))))</f>
        <v/>
      </c>
      <c r="M8" s="3"/>
    </row>
    <row r="9" customFormat="false" ht="15" hidden="false" customHeight="false" outlineLevel="0" collapsed="false">
      <c r="A9" s="2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2" t="str">
        <f aca="false">IF(F9="Pass","Primary Pass",IF(AND(G9="Yes",I9="Pass"),"Cross-Modal Pass",IF(K9="Pass","Recovered Pass",IF(OR(F9="",F9=0),"","Total Fail"))))</f>
        <v/>
      </c>
      <c r="M9" s="3"/>
    </row>
    <row r="10" customFormat="false" ht="15" hidden="false" customHeight="false" outlineLevel="0" collapsed="false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 t="str">
        <f aca="false">IF(F10="Pass","Primary Pass",IF(AND(G10="Yes",I10="Pass"),"Cross-Modal Pass",IF(K10="Pass","Recovered Pass",IF(OR(F10="",F10=0),"","Total Fail"))))</f>
        <v/>
      </c>
      <c r="M10" s="3"/>
    </row>
    <row r="11" customFormat="false" ht="15" hidden="false" customHeight="false" outlineLevel="0" collapsed="false">
      <c r="A11" s="2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2" t="str">
        <f aca="false">IF(F11="Pass","Primary Pass",IF(AND(G11="Yes",I11="Pass"),"Cross-Modal Pass",IF(K11="Pass","Recovered Pass",IF(OR(F11="",F11=0),"","Total Fail"))))</f>
        <v/>
      </c>
      <c r="M11" s="3"/>
    </row>
    <row r="12" customFormat="false" ht="15" hidden="false" customHeight="false" outlineLevel="0" collapsed="false">
      <c r="A12" s="2" t="s">
        <v>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2" t="str">
        <f aca="false">IF(F12="Pass","Primary Pass",IF(AND(G12="Yes",I12="Pass"),"Cross-Modal Pass",IF(K12="Pass","Recovered Pass",IF(OR(F12="",F12=0),"","Total Fail"))))</f>
        <v/>
      </c>
      <c r="M12" s="3"/>
    </row>
    <row r="13" customFormat="false" ht="15" hidden="false" customHeight="false" outlineLevel="0" collapsed="false">
      <c r="A13" s="2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2" t="str">
        <f aca="false">IF(F13="Pass","Primary Pass",IF(AND(G13="Yes",I13="Pass"),"Cross-Modal Pass",IF(K13="Pass","Recovered Pass",IF(OR(F13="",F13=0),"","Total Fail"))))</f>
        <v/>
      </c>
      <c r="M13" s="3"/>
    </row>
    <row r="14" customFormat="false" ht="15" hidden="false" customHeight="false" outlineLevel="0" collapsed="false">
      <c r="A14" s="2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 t="str">
        <f aca="false">IF(F14="Pass","Primary Pass",IF(AND(G14="Yes",I14="Pass"),"Cross-Modal Pass",IF(K14="Pass","Recovered Pass",IF(OR(F14="",F14=0),"","Total Fail"))))</f>
        <v/>
      </c>
      <c r="M14" s="3"/>
    </row>
    <row r="15" customFormat="false" ht="15" hidden="false" customHeight="false" outlineLevel="0" collapsed="false">
      <c r="A15" s="2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2" t="str">
        <f aca="false">IF(F15="Pass","Primary Pass",IF(AND(G15="Yes",I15="Pass"),"Cross-Modal Pass",IF(K15="Pass","Recovered Pass",IF(OR(F15="",F15=0),"","Total Fail"))))</f>
        <v/>
      </c>
      <c r="M15" s="3"/>
    </row>
    <row r="16" customFormat="false" ht="15" hidden="false" customHeight="false" outlineLevel="0" collapsed="false">
      <c r="A16" s="2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2" t="str">
        <f aca="false">IF(F16="Pass","Primary Pass",IF(AND(G16="Yes",I16="Pass"),"Cross-Modal Pass",IF(K16="Pass","Recovered Pass",IF(OR(F16="",F16=0),"","Total Fail"))))</f>
        <v/>
      </c>
      <c r="M16" s="3"/>
    </row>
    <row r="17" customFormat="false" ht="15" hidden="false" customHeight="false" outlineLevel="0" collapsed="false">
      <c r="A17" s="2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2" t="str">
        <f aca="false">IF(F17="Pass","Primary Pass",IF(AND(G17="Yes",I17="Pass"),"Cross-Modal Pass",IF(K17="Pass","Recovered Pass",IF(OR(F17="",F17=0),"","Total Fail"))))</f>
        <v/>
      </c>
      <c r="M17" s="3"/>
    </row>
    <row r="18" customFormat="false" ht="15" hidden="false" customHeight="false" outlineLevel="0" collapsed="false">
      <c r="A18" s="2" t="s">
        <v>29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2" t="str">
        <f aca="false">IF(F18="Pass","Primary Pass",IF(AND(G18="Yes",I18="Pass"),"Cross-Modal Pass",IF(K18="Pass","Recovered Pass",IF(OR(F18="",F18=0),"","Total Fail"))))</f>
        <v/>
      </c>
      <c r="M18" s="3"/>
    </row>
    <row r="19" customFormat="false" ht="15" hidden="false" customHeight="false" outlineLevel="0" collapsed="false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2" t="str">
        <f aca="false">IF(F19="Pass","Primary Pass",IF(AND(G19="Yes",I19="Pass"),"Cross-Modal Pass",IF(K19="Pass","Recovered Pass",IF(OR(F19="",F19=0),"","Total Fail"))))</f>
        <v/>
      </c>
      <c r="M19" s="3"/>
    </row>
    <row r="20" customFormat="false" ht="15" hidden="false" customHeight="false" outlineLevel="0" collapsed="false">
      <c r="A20" s="2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2" t="str">
        <f aca="false">IF(F20="Pass","Primary Pass",IF(AND(G20="Yes",I20="Pass"),"Cross-Modal Pass",IF(K20="Pass","Recovered Pass",IF(OR(F20="",F20=0),"","Total Fail"))))</f>
        <v/>
      </c>
      <c r="M20" s="3"/>
    </row>
    <row r="21" customFormat="false" ht="15" hidden="false" customHeight="false" outlineLevel="0" collapsed="false">
      <c r="A21" s="2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2" t="str">
        <f aca="false">IF(F21="Pass","Primary Pass",IF(AND(G21="Yes",I21="Pass"),"Cross-Modal Pass",IF(K21="Pass","Recovered Pass",IF(OR(F21="",F21=0),"","Total Fail"))))</f>
        <v/>
      </c>
      <c r="M21" s="3"/>
    </row>
    <row r="22" customFormat="false" ht="15" hidden="false" customHeight="false" outlineLevel="0" collapsed="false">
      <c r="A22" s="2" t="s">
        <v>33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2" t="str">
        <f aca="false">IF(F22="Pass","Primary Pass",IF(AND(G22="Yes",I22="Pass"),"Cross-Modal Pass",IF(K22="Pass","Recovered Pass",IF(OR(F22="",F22=0),"","Total Fail"))))</f>
        <v/>
      </c>
      <c r="M22" s="3"/>
    </row>
    <row r="23" customFormat="false" ht="15" hidden="false" customHeight="false" outlineLevel="0" collapsed="false">
      <c r="A23" s="2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 t="str">
        <f aca="false">IF(F23="Pass","Primary Pass",IF(AND(G23="Yes",I23="Pass"),"Cross-Modal Pass",IF(K23="Pass","Recovered Pass",IF(OR(F23="",F23=0),"","Total Fail"))))</f>
        <v/>
      </c>
      <c r="M23" s="3"/>
    </row>
    <row r="24" customFormat="false" ht="15" hidden="false" customHeight="false" outlineLevel="0" collapsed="false">
      <c r="A24" s="2" t="s">
        <v>35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 t="str">
        <f aca="false">IF(F24="Pass","Primary Pass",IF(AND(G24="Yes",I24="Pass"),"Cross-Modal Pass",IF(K24="Pass","Recovered Pass",IF(OR(F24="",F24=0),"","Total Fail"))))</f>
        <v/>
      </c>
      <c r="M24" s="3"/>
    </row>
    <row r="25" customFormat="false" ht="15" hidden="false" customHeight="false" outlineLevel="0" collapsed="false">
      <c r="A25" s="2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2" t="str">
        <f aca="false">IF(F25="Pass","Primary Pass",IF(AND(G25="Yes",I25="Pass"),"Cross-Modal Pass",IF(K25="Pass","Recovered Pass",IF(OR(F25="",F25=0),"","Total Fail"))))</f>
        <v/>
      </c>
      <c r="M25" s="3"/>
    </row>
    <row r="26" customFormat="false" ht="15" hidden="false" customHeight="false" outlineLevel="0" collapsed="false">
      <c r="A26" s="2" t="s">
        <v>37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 t="str">
        <f aca="false">IF(F26="Pass","Primary Pass",IF(AND(G26="Yes",I26="Pass"),"Cross-Modal Pass",IF(K26="Pass","Recovered Pass",IF(OR(F26="",F26=0),"","Total Fail"))))</f>
        <v/>
      </c>
      <c r="M26" s="3"/>
    </row>
    <row r="27" customFormat="false" ht="15" hidden="false" customHeight="false" outlineLevel="0" collapsed="false">
      <c r="A27" s="2" t="s">
        <v>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2" t="str">
        <f aca="false">IF(F27="Pass","Primary Pass",IF(AND(G27="Yes",I27="Pass"),"Cross-Modal Pass",IF(K27="Pass","Recovered Pass",IF(OR(F27="",F27=0),"","Total Fail"))))</f>
        <v/>
      </c>
      <c r="M27" s="3"/>
    </row>
    <row r="28" customFormat="false" ht="15" hidden="false" customHeight="false" outlineLevel="0" collapsed="false">
      <c r="A28" s="2" t="s">
        <v>39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2" t="str">
        <f aca="false">IF(F28="Pass","Primary Pass",IF(AND(G28="Yes",I28="Pass"),"Cross-Modal Pass",IF(K28="Pass","Recovered Pass",IF(OR(F28="",F28=0),"","Total Fail"))))</f>
        <v/>
      </c>
      <c r="M28" s="3"/>
    </row>
    <row r="29" customFormat="false" ht="15" hidden="false" customHeight="false" outlineLevel="0" collapsed="false">
      <c r="A29" s="2" t="s">
        <v>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2" t="str">
        <f aca="false">IF(F29="Pass","Primary Pass",IF(AND(G29="Yes",I29="Pass"),"Cross-Modal Pass",IF(K29="Pass","Recovered Pass",IF(OR(F29="",F29=0),"","Total Fail"))))</f>
        <v/>
      </c>
      <c r="M29" s="3"/>
    </row>
    <row r="30" customFormat="false" ht="15" hidden="false" customHeight="false" outlineLevel="0" collapsed="false">
      <c r="A30" s="2" t="s">
        <v>41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2" t="str">
        <f aca="false">IF(F30="Pass","Primary Pass",IF(AND(G30="Yes",I30="Pass"),"Cross-Modal Pass",IF(K30="Pass","Recovered Pass",IF(OR(F30="",F30=0),"","Total Fail"))))</f>
        <v/>
      </c>
      <c r="M30" s="3"/>
    </row>
    <row r="31" customFormat="false" ht="15" hidden="false" customHeight="false" outlineLevel="0" collapsed="false">
      <c r="A31" s="2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2" t="str">
        <f aca="false">IF(F31="Pass","Primary Pass",IF(AND(G31="Yes",I31="Pass"),"Cross-Modal Pass",IF(K31="Pass","Recovered Pass",IF(OR(F31="",F31=0),"","Total Fail"))))</f>
        <v/>
      </c>
      <c r="M31" s="3"/>
    </row>
    <row r="32" customFormat="false" ht="15" hidden="false" customHeight="false" outlineLevel="0" collapsed="false">
      <c r="A32" s="2" t="s">
        <v>43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2" t="str">
        <f aca="false">IF(F32="Pass","Primary Pass",IF(AND(G32="Yes",I32="Pass"),"Cross-Modal Pass",IF(K32="Pass","Recovered Pass",IF(OR(F32="",F32=0),"","Total Fail"))))</f>
        <v/>
      </c>
      <c r="M32" s="3"/>
    </row>
    <row r="33" customFormat="false" ht="15" hidden="false" customHeight="false" outlineLevel="0" collapsed="false">
      <c r="A33" s="2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2" t="str">
        <f aca="false">IF(F33="Pass","Primary Pass",IF(AND(G33="Yes",I33="Pass"),"Cross-Modal Pass",IF(K33="Pass","Recovered Pass",IF(OR(F33="",F33=0),"","Total Fail"))))</f>
        <v/>
      </c>
      <c r="M33" s="3"/>
    </row>
    <row r="34" customFormat="false" ht="15" hidden="false" customHeight="false" outlineLevel="0" collapsed="false">
      <c r="A34" s="2" t="s">
        <v>45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2" t="str">
        <f aca="false">IF(F34="Pass","Primary Pass",IF(AND(G34="Yes",I34="Pass"),"Cross-Modal Pass",IF(K34="Pass","Recovered Pass",IF(OR(F34="",F34=0),"","Total Fail"))))</f>
        <v/>
      </c>
      <c r="M34" s="3"/>
    </row>
    <row r="35" customFormat="false" ht="15" hidden="false" customHeight="false" outlineLevel="0" collapsed="false">
      <c r="A35" s="2" t="s">
        <v>46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2" t="str">
        <f aca="false">IF(F35="Pass","Primary Pass",IF(AND(G35="Yes",I35="Pass"),"Cross-Modal Pass",IF(K35="Pass","Recovered Pass",IF(OR(F35="",F35=0),"","Total Fail"))))</f>
        <v/>
      </c>
      <c r="M35" s="3"/>
    </row>
    <row r="36" customFormat="false" ht="15" hidden="false" customHeight="false" outlineLevel="0" collapsed="false">
      <c r="A36" s="2" t="s">
        <v>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2" t="str">
        <f aca="false">IF(F36="Pass","Primary Pass",IF(AND(G36="Yes",I36="Pass"),"Cross-Modal Pass",IF(K36="Pass","Recovered Pass",IF(OR(F36="",F36=0),"","Total Fail"))))</f>
        <v/>
      </c>
      <c r="M36" s="3"/>
    </row>
    <row r="37" customFormat="false" ht="15" hidden="false" customHeight="false" outlineLevel="0" collapsed="false">
      <c r="A37" s="2" t="s">
        <v>48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2" t="str">
        <f aca="false">IF(F37="Pass","Primary Pass",IF(AND(G37="Yes",I37="Pass"),"Cross-Modal Pass",IF(K37="Pass","Recovered Pass",IF(OR(F37="",F37=0),"","Total Fail"))))</f>
        <v/>
      </c>
      <c r="M37" s="3"/>
    </row>
    <row r="38" customFormat="false" ht="15" hidden="false" customHeight="false" outlineLevel="0" collapsed="false">
      <c r="A38" s="2" t="s">
        <v>49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2" t="str">
        <f aca="false">IF(F38="Pass","Primary Pass",IF(AND(G38="Yes",I38="Pass"),"Cross-Modal Pass",IF(K38="Pass","Recovered Pass",IF(OR(F38="",F38=0),"","Total Fail"))))</f>
        <v/>
      </c>
      <c r="M38" s="3"/>
    </row>
    <row r="39" customFormat="false" ht="15" hidden="false" customHeight="false" outlineLevel="0" collapsed="false">
      <c r="A39" s="2" t="s">
        <v>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2" t="str">
        <f aca="false">IF(F39="Pass","Primary Pass",IF(AND(G39="Yes",I39="Pass"),"Cross-Modal Pass",IF(K39="Pass","Recovered Pass",IF(OR(F39="",F39=0),"","Total Fail"))))</f>
        <v/>
      </c>
      <c r="M39" s="3"/>
    </row>
    <row r="40" customFormat="false" ht="15" hidden="false" customHeight="false" outlineLevel="0" collapsed="false">
      <c r="A40" s="2" t="s">
        <v>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2" t="str">
        <f aca="false">IF(F40="Pass","Primary Pass",IF(AND(G40="Yes",I40="Pass"),"Cross-Modal Pass",IF(K40="Pass","Recovered Pass",IF(OR(F40="",F40=0),"","Total Fail"))))</f>
        <v/>
      </c>
      <c r="M40" s="3"/>
    </row>
    <row r="41" customFormat="false" ht="15" hidden="false" customHeight="false" outlineLevel="0" collapsed="false">
      <c r="A41" s="2" t="s">
        <v>52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2" t="str">
        <f aca="false">IF(F41="Pass","Primary Pass",IF(AND(G41="Yes",I41="Pass"),"Cross-Modal Pass",IF(K41="Pass","Recovered Pass",IF(OR(F41="",F41=0),"","Total Fail"))))</f>
        <v/>
      </c>
      <c r="M41" s="3"/>
    </row>
    <row r="42" customFormat="false" ht="15" hidden="false" customHeight="false" outlineLevel="0" collapsed="false">
      <c r="A42" s="2" t="s">
        <v>53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2" t="str">
        <f aca="false">IF(F42="Pass","Primary Pass",IF(AND(G42="Yes",I42="Pass"),"Cross-Modal Pass",IF(K42="Pass","Recovered Pass",IF(OR(F42="",F42=0),"","Total Fail"))))</f>
        <v/>
      </c>
      <c r="M42" s="3"/>
    </row>
    <row r="43" customFormat="false" ht="15" hidden="false" customHeight="false" outlineLevel="0" collapsed="false">
      <c r="A43" s="2" t="s">
        <v>54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2" t="str">
        <f aca="false">IF(F43="Pass","Primary Pass",IF(AND(G43="Yes",I43="Pass"),"Cross-Modal Pass",IF(K43="Pass","Recovered Pass",IF(OR(F43="",F43=0),"","Total Fail"))))</f>
        <v/>
      </c>
      <c r="M43" s="3"/>
    </row>
    <row r="44" customFormat="false" ht="15" hidden="false" customHeight="false" outlineLevel="0" collapsed="false">
      <c r="A44" s="2" t="s">
        <v>55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2" t="str">
        <f aca="false">IF(F44="Pass","Primary Pass",IF(AND(G44="Yes",I44="Pass"),"Cross-Modal Pass",IF(K44="Pass","Recovered Pass",IF(OR(F44="",F44=0),"","Total Fail"))))</f>
        <v/>
      </c>
      <c r="M44" s="3"/>
    </row>
    <row r="45" customFormat="false" ht="15" hidden="false" customHeight="false" outlineLevel="0" collapsed="false">
      <c r="A45" s="2" t="s">
        <v>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2" t="str">
        <f aca="false">IF(F45="Pass","Primary Pass",IF(AND(G45="Yes",I45="Pass"),"Cross-Modal Pass",IF(K45="Pass","Recovered Pass",IF(OR(F45="",F45=0),"","Total Fail"))))</f>
        <v/>
      </c>
      <c r="M45" s="3"/>
    </row>
    <row r="46" customFormat="false" ht="15" hidden="false" customHeight="false" outlineLevel="0" collapsed="false">
      <c r="A46" s="2" t="s">
        <v>57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2" t="str">
        <f aca="false">IF(F46="Pass","Primary Pass",IF(AND(G46="Yes",I46="Pass"),"Cross-Modal Pass",IF(K46="Pass","Recovered Pass",IF(OR(F46="",F46=0),"","Total Fail"))))</f>
        <v/>
      </c>
      <c r="M46" s="3"/>
    </row>
    <row r="47" customFormat="false" ht="15" hidden="false" customHeight="false" outlineLevel="0" collapsed="false">
      <c r="A47" s="2" t="s">
        <v>58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2" t="str">
        <f aca="false">IF(F47="Pass","Primary Pass",IF(AND(G47="Yes",I47="Pass"),"Cross-Modal Pass",IF(K47="Pass","Recovered Pass",IF(OR(F47="",F47=0),"","Total Fail"))))</f>
        <v/>
      </c>
      <c r="M47" s="3"/>
    </row>
    <row r="48" customFormat="false" ht="15" hidden="false" customHeight="false" outlineLevel="0" collapsed="false">
      <c r="A48" s="2" t="s">
        <v>59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2" t="str">
        <f aca="false">IF(F48="Pass","Primary Pass",IF(AND(G48="Yes",I48="Pass"),"Cross-Modal Pass",IF(K48="Pass","Recovered Pass",IF(OR(F48="",F48=0),"","Total Fail"))))</f>
        <v/>
      </c>
      <c r="M48" s="3"/>
    </row>
    <row r="49" customFormat="false" ht="15" hidden="false" customHeight="false" outlineLevel="0" collapsed="false">
      <c r="A49" s="2" t="s">
        <v>60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2" t="str">
        <f aca="false">IF(F49="Pass","Primary Pass",IF(AND(G49="Yes",I49="Pass"),"Cross-Modal Pass",IF(K49="Pass","Recovered Pass",IF(OR(F49="",F49=0),"","Total Fail"))))</f>
        <v/>
      </c>
      <c r="M49" s="3"/>
    </row>
    <row r="50" customFormat="false" ht="15" hidden="false" customHeight="false" outlineLevel="0" collapsed="false">
      <c r="A50" s="2" t="s">
        <v>61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2" t="str">
        <f aca="false">IF(F50="Pass","Primary Pass",IF(AND(G50="Yes",I50="Pass"),"Cross-Modal Pass",IF(K50="Pass","Recovered Pass",IF(OR(F50="",F50=0),"","Total Fail"))))</f>
        <v/>
      </c>
      <c r="M50" s="3"/>
    </row>
    <row r="51" customFormat="false" ht="15" hidden="false" customHeight="false" outlineLevel="0" collapsed="false">
      <c r="A51" s="2" t="s">
        <v>62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2" t="str">
        <f aca="false">IF(F51="Pass","Primary Pass",IF(AND(G51="Yes",I51="Pass"),"Cross-Modal Pass",IF(K51="Pass","Recovered Pass",IF(OR(F51="",F51=0),"","Total Fail"))))</f>
        <v/>
      </c>
      <c r="M51" s="3"/>
    </row>
  </sheetData>
  <dataValidations count="4">
    <dataValidation allowBlank="true" errorStyle="stop" operator="between" showDropDown="false" showErrorMessage="false" showInputMessage="false" sqref="C2:C51 H2:H51" type="list">
      <formula1>"Text,Image,Frame-Sequence"</formula1>
      <formula2>0</formula2>
    </dataValidation>
    <dataValidation allowBlank="true" errorStyle="stop" operator="between" showDropDown="false" showErrorMessage="false" showInputMessage="false" sqref="F2:F51 I2:I51 K2:K51" type="list">
      <formula1>"Pass,Fail"</formula1>
      <formula2>0</formula2>
    </dataValidation>
    <dataValidation allowBlank="true" errorStyle="stop" operator="between" showDropDown="false" showErrorMessage="false" showInputMessage="false" sqref="G2:G51" type="list">
      <formula1>"Yes,No"</formula1>
      <formula2>0</formula2>
    </dataValidation>
    <dataValidation allowBlank="true" errorStyle="stop" operator="between" showDropDown="false" showErrorMessage="false" showInputMessage="false" sqref="J2:J51" type="list">
      <formula1>"Similarity Search,Filter-Timestamp,Filter-EventID,None"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4" t="s">
        <v>63</v>
      </c>
      <c r="B1" s="4"/>
      <c r="C1" s="4"/>
    </row>
    <row r="3" customFormat="false" ht="15" hidden="false" customHeight="false" outlineLevel="0" collapsed="false">
      <c r="A3" s="5" t="s">
        <v>64</v>
      </c>
      <c r="B3" s="6"/>
      <c r="C3" s="6"/>
    </row>
    <row r="4" customFormat="false" ht="15" hidden="false" customHeight="false" outlineLevel="0" collapsed="false">
      <c r="A4" s="7" t="s">
        <v>65</v>
      </c>
      <c r="B4" s="7" t="n">
        <f aca="false">COUNTA('Query Log'!A2:A51)</f>
        <v>50</v>
      </c>
    </row>
    <row r="5" customFormat="false" ht="15" hidden="false" customHeight="false" outlineLevel="0" collapsed="false">
      <c r="A5" s="7" t="s">
        <v>66</v>
      </c>
      <c r="B5" s="7" t="n">
        <f aca="false">COUNTIF('Query Log'!L2:L51,"Primary Pass")</f>
        <v>0</v>
      </c>
    </row>
    <row r="6" customFormat="false" ht="15" hidden="false" customHeight="false" outlineLevel="0" collapsed="false">
      <c r="A6" s="7" t="s">
        <v>67</v>
      </c>
      <c r="B6" s="7" t="n">
        <f aca="false">COUNTIF('Query Log'!L2:L51,"Cross-Modal Pass")</f>
        <v>0</v>
      </c>
    </row>
    <row r="7" customFormat="false" ht="15" hidden="false" customHeight="false" outlineLevel="0" collapsed="false">
      <c r="A7" s="7" t="s">
        <v>68</v>
      </c>
      <c r="B7" s="7" t="n">
        <f aca="false">COUNTIF('Query Log'!L2:L51,"Recovered Pass")</f>
        <v>0</v>
      </c>
    </row>
    <row r="8" customFormat="false" ht="15" hidden="false" customHeight="false" outlineLevel="0" collapsed="false">
      <c r="A8" s="7" t="s">
        <v>69</v>
      </c>
      <c r="B8" s="7" t="n">
        <f aca="false">COUNTIF('Query Log'!L2:L51,"Total Fail")</f>
        <v>0</v>
      </c>
    </row>
    <row r="10" customFormat="false" ht="15" hidden="false" customHeight="false" outlineLevel="0" collapsed="false">
      <c r="A10" s="5" t="s">
        <v>70</v>
      </c>
      <c r="B10" s="6"/>
      <c r="C10" s="6"/>
    </row>
    <row r="11" customFormat="false" ht="15" hidden="false" customHeight="false" outlineLevel="0" collapsed="false">
      <c r="A11" s="7" t="s">
        <v>71</v>
      </c>
      <c r="B11" s="8" t="n">
        <f aca="false">B5/B4</f>
        <v>0</v>
      </c>
    </row>
    <row r="12" customFormat="false" ht="15" hidden="false" customHeight="false" outlineLevel="0" collapsed="false">
      <c r="A12" s="7" t="s">
        <v>72</v>
      </c>
      <c r="B12" s="8" t="n">
        <f aca="false">B6/B4</f>
        <v>0</v>
      </c>
    </row>
    <row r="13" customFormat="false" ht="15" hidden="false" customHeight="false" outlineLevel="0" collapsed="false">
      <c r="A13" s="7" t="s">
        <v>73</v>
      </c>
      <c r="B13" s="8" t="n">
        <f aca="false">B7/B4</f>
        <v>0</v>
      </c>
    </row>
    <row r="14" customFormat="false" ht="15" hidden="false" customHeight="false" outlineLevel="0" collapsed="false">
      <c r="A14" s="7" t="s">
        <v>74</v>
      </c>
      <c r="B14" s="8" t="n">
        <f aca="false">(B5+B6+B7)/B4</f>
        <v>0</v>
      </c>
    </row>
    <row r="15" customFormat="false" ht="15" hidden="false" customHeight="false" outlineLevel="0" collapsed="false">
      <c r="A15" s="7" t="s">
        <v>75</v>
      </c>
      <c r="B15" s="8" t="n">
        <f aca="false">B8/B4</f>
        <v>0</v>
      </c>
    </row>
    <row r="17" customFormat="false" ht="15" hidden="false" customHeight="false" outlineLevel="0" collapsed="false">
      <c r="A17" s="5" t="s">
        <v>76</v>
      </c>
      <c r="B17" s="6"/>
      <c r="C17" s="6"/>
    </row>
    <row r="18" customFormat="false" ht="15" hidden="false" customHeight="false" outlineLevel="0" collapsed="false">
      <c r="A18" s="9" t="s">
        <v>77</v>
      </c>
      <c r="B18" s="9" t="s">
        <v>78</v>
      </c>
      <c r="C18" s="9" t="s">
        <v>71</v>
      </c>
    </row>
    <row r="19" customFormat="false" ht="15" hidden="false" customHeight="false" outlineLevel="0" collapsed="false">
      <c r="A19" s="7" t="s">
        <v>79</v>
      </c>
      <c r="B19" s="7" t="n">
        <f aca="false">COUNTIFS('Query Log'!C2:C51,"Text",'Query Log'!F2:F51,"Pass")</f>
        <v>0</v>
      </c>
      <c r="C19" s="8" t="n">
        <f aca="false">IFERROR(B19/COUNTIF('Query Log'!C2:C51,"Text"),0)</f>
        <v>0</v>
      </c>
    </row>
    <row r="20" customFormat="false" ht="15" hidden="false" customHeight="false" outlineLevel="0" collapsed="false">
      <c r="A20" s="7" t="s">
        <v>80</v>
      </c>
      <c r="B20" s="7" t="n">
        <f aca="false">COUNTIFS('Query Log'!C2:C51,"Image",'Query Log'!F2:F51,"Pass")</f>
        <v>0</v>
      </c>
      <c r="C20" s="8" t="n">
        <f aca="false">IFERROR(B20/COUNTIF('Query Log'!C2:C51,"Image"),0)</f>
        <v>0</v>
      </c>
    </row>
    <row r="21" customFormat="false" ht="15" hidden="false" customHeight="false" outlineLevel="0" collapsed="false">
      <c r="A21" s="7" t="s">
        <v>81</v>
      </c>
      <c r="B21" s="7" t="n">
        <f aca="false">COUNTIFS('Query Log'!C2:C51,"Frame-Sequence",'Query Log'!F2:F51,"Pass")</f>
        <v>0</v>
      </c>
      <c r="C21" s="8" t="n">
        <f aca="false">IFERROR(B21/COUNTIF('Query Log'!C2:C51,"Frame-Sequence"),0)</f>
        <v>0</v>
      </c>
    </row>
    <row r="23" customFormat="false" ht="15" hidden="false" customHeight="false" outlineLevel="0" collapsed="false">
      <c r="A23" s="5" t="s">
        <v>12</v>
      </c>
      <c r="B23" s="6"/>
      <c r="C23" s="6"/>
    </row>
    <row r="24" customFormat="false" ht="15" hidden="false" customHeight="false" outlineLevel="0" collapsed="false">
      <c r="A24" s="10" t="s">
        <v>82</v>
      </c>
      <c r="B24" s="10"/>
      <c r="C24" s="10"/>
    </row>
    <row r="25" customFormat="false" ht="15" hidden="false" customHeight="false" outlineLevel="0" collapsed="false">
      <c r="A25" s="10" t="s">
        <v>83</v>
      </c>
      <c r="B25" s="10"/>
      <c r="C25" s="10"/>
    </row>
    <row r="26" customFormat="false" ht="15" hidden="false" customHeight="false" outlineLevel="0" collapsed="false">
      <c r="A26" s="10" t="s">
        <v>84</v>
      </c>
      <c r="B26" s="10"/>
      <c r="C26" s="10"/>
    </row>
    <row r="27" customFormat="false" ht="15" hidden="false" customHeight="false" outlineLevel="0" collapsed="false">
      <c r="A27" s="10" t="s">
        <v>85</v>
      </c>
      <c r="B27" s="10"/>
      <c r="C27" s="10"/>
    </row>
    <row r="28" customFormat="false" ht="15" hidden="false" customHeight="false" outlineLevel="0" collapsed="false">
      <c r="A28" s="10" t="s">
        <v>86</v>
      </c>
      <c r="B28" s="10"/>
      <c r="C28" s="10"/>
    </row>
  </sheetData>
  <mergeCells count="6">
    <mergeCell ref="A1:C1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2026-08-25T09:03:51Z</dcterms:created>
  <dc:creator>openpyxl</dc:creator>
  <dc:description/>
  <dc:language>en-US</dc:language>
  <cp:lastModifiedBy/>
  <dcterms:modified xsi:type="dcterms:W3CDTF">2026-08-25T09:03:51Z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